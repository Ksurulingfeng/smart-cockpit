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<sst xmlns="http://schemas.openxmlformats.org/spreadsheetml/2006/main" count="333" uniqueCount="162">
  <si>
    <t/>
  </si>
  <si>
    <t xml:space="preserve">Bill of Materials </t>
  </si>
  <si>
    <t>BOM_stm32CAN节点_PCB1_2026-05-11</t>
  </si>
  <si>
    <t>Project Title：</t>
  </si>
  <si>
    <t>stm32CAN节点</t>
  </si>
  <si>
    <t>Variant:</t>
  </si>
  <si>
    <t xml:space="preserve"> </t>
  </si>
  <si>
    <t>Report Time：</t>
  </si>
  <si>
    <t>2026年5月11日 22:46:16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</si>
  <si>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</si>
  <si>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</si>
  <si>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</si>
  <si>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</si>
  <si>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</si>
  <si>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</si>
  <si>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</si>
  <si>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</si>
  <si>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</si>
  <si>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</si>
  <si>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</si>
  <si>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</si>
  <si>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2kHz</t>
  </si>
  <si>
    <t>BUZZER1</t>
  </si>
  <si>
    <t>BUZ-TH_BD12.0-P6.50-D0.8</t>
  </si>
  <si>
    <t>SEA-1295Y-0520-42Ω-38P6.5</t>
  </si>
  <si>
    <t>S&amp;S(海旭)</t>
  </si>
  <si>
    <t>C2687681</t>
  </si>
  <si>
    <t>LCSC</t>
  </si>
  <si>
    <t>0.8946</t>
  </si>
  <si>
    <t>100nF</t>
  </si>
  <si>
    <t>C1, C3, C7, C8, C9, C10</t>
  </si>
  <si>
    <t>C0805</t>
  </si>
  <si>
    <t>10uF</t>
  </si>
  <si>
    <t>C2, C4, C11</t>
  </si>
  <si>
    <t>47pF</t>
  </si>
  <si>
    <t>C5, C6</t>
  </si>
  <si>
    <t>HX-XH2.54-2PWZ</t>
  </si>
  <si>
    <t>CN3</t>
  </si>
  <si>
    <t>CONN-TH_HX-XH2.54-2PWZ</t>
  </si>
  <si>
    <t>hanxia(韩下)</t>
  </si>
  <si>
    <t>C48641714</t>
  </si>
  <si>
    <t>0.0455</t>
  </si>
  <si>
    <t>DC005-T</t>
  </si>
  <si>
    <t>DC1</t>
  </si>
  <si>
    <t>DC-IN-TH_DC005-T</t>
  </si>
  <si>
    <t>SHOU HAN(首韩)</t>
  </si>
  <si>
    <t>C431532</t>
  </si>
  <si>
    <t>0.5976</t>
  </si>
  <si>
    <t>HDR-M_2.54_1x3P</t>
  </si>
  <si>
    <t>H2</t>
  </si>
  <si>
    <t>HDR-TH_3P-P2.54-V-M</t>
  </si>
  <si>
    <t>C2937625</t>
  </si>
  <si>
    <t>0.115</t>
  </si>
  <si>
    <t>HDR-M_2.54_1x4P</t>
  </si>
  <si>
    <t>H3, H4</t>
  </si>
  <si>
    <t>HDR-TH_4P-P2.54-V-M</t>
  </si>
  <si>
    <t>C492403</t>
  </si>
  <si>
    <t>0.1657</t>
  </si>
  <si>
    <t>HDR-F_2.54_1x4P</t>
  </si>
  <si>
    <t>H5</t>
  </si>
  <si>
    <t>HDR-TH_4P-P2.54-V-F</t>
  </si>
  <si>
    <t>C2718488</t>
  </si>
  <si>
    <t>0.4809</t>
  </si>
  <si>
    <t>HDR-F_2.54_1x3P</t>
  </si>
  <si>
    <t>H10, H11, H12, H13</t>
  </si>
  <si>
    <t>HDR-TH_3P-P2.54-V-F</t>
  </si>
  <si>
    <t>C541850</t>
  </si>
  <si>
    <t>0.4019</t>
  </si>
  <si>
    <t>LED_TH-R_3mm</t>
  </si>
  <si>
    <t>LED</t>
  </si>
  <si>
    <t>LED_TH-3mm</t>
  </si>
  <si>
    <t>电位器10K</t>
  </si>
  <si>
    <t>POT1, POT2</t>
  </si>
  <si>
    <t>RES-TH_RK09K1130A5R</t>
  </si>
  <si>
    <t>10kΩ</t>
  </si>
  <si>
    <t>RK09K1130A5R</t>
  </si>
  <si>
    <t>ALPSALPINE(阿尔卑斯阿尔派)</t>
  </si>
  <si>
    <t>C209779</t>
  </si>
  <si>
    <t>5.17</t>
  </si>
  <si>
    <t>LED_0805-R</t>
  </si>
  <si>
    <t>PWR</t>
  </si>
  <si>
    <t>LED_0805</t>
  </si>
  <si>
    <t>S8050</t>
  </si>
  <si>
    <t>Q1</t>
  </si>
  <si>
    <t>SOT-23-3_L2.9-W1.3-P1.90-LS2.4-BR</t>
  </si>
  <si>
    <t>MMSS8050-L-TP</t>
  </si>
  <si>
    <t>MCC(美微科)</t>
  </si>
  <si>
    <t>C194044</t>
  </si>
  <si>
    <t>0.1567</t>
  </si>
  <si>
    <t>10K</t>
  </si>
  <si>
    <t>R1, R2, R5, R7, R8, R9, R10</t>
  </si>
  <si>
    <t>R0805</t>
  </si>
  <si>
    <t>1K</t>
  </si>
  <si>
    <t>R3, R4, R6</t>
  </si>
  <si>
    <t>1M</t>
  </si>
  <si>
    <t>R11</t>
  </si>
  <si>
    <t>M3螺丝</t>
  </si>
  <si>
    <t>SCREW1, SCREW2, SCREW3, SCREW4</t>
  </si>
  <si>
    <t>TS665CJ</t>
  </si>
  <si>
    <t>SW1, SW2, SW3, SW4</t>
  </si>
  <si>
    <t>SW-TH_4P-L6.0-W6.0-P4.50-LS6.5</t>
  </si>
  <si>
    <t>C393938</t>
  </si>
  <si>
    <t>0.1158</t>
  </si>
  <si>
    <t>钮子开关</t>
  </si>
  <si>
    <t>SW5</t>
  </si>
  <si>
    <t>钮子开关钮子开关三脚三档</t>
  </si>
  <si>
    <t>AMS1117-3.3(XBLW)</t>
  </si>
  <si>
    <t>U1</t>
  </si>
  <si>
    <t>SOT-223-3_L6.5-W3.4-P2.30-LS7.0-BR-1</t>
  </si>
  <si>
    <t>XBLW(芯伯乐)</t>
  </si>
  <si>
    <t>C18906017</t>
  </si>
  <si>
    <t>0.2569</t>
  </si>
  <si>
    <t>STM32F103C8T6</t>
  </si>
  <si>
    <t>U2</t>
  </si>
  <si>
    <t>LQFP-48_L7.0-W7.0-P0.50-LS9.0-BL</t>
  </si>
  <si>
    <t>C9900100366</t>
  </si>
  <si>
    <t>MP1584_5V成品板</t>
  </si>
  <si>
    <t>U3</t>
  </si>
  <si>
    <t>MP1584EN</t>
  </si>
  <si>
    <t>TJA1050成品板</t>
  </si>
  <si>
    <t>U5</t>
  </si>
  <si>
    <t>端子</t>
  </si>
  <si>
    <t>U26</t>
  </si>
  <si>
    <t>CONN-TH_P5.00_KF301-5.0-2P</t>
  </si>
  <si>
    <t>KEFA(科发)</t>
  </si>
  <si>
    <t>C474881</t>
  </si>
  <si>
    <t>0.6111</t>
  </si>
  <si>
    <t>OLED</t>
  </si>
  <si>
    <t>U28</t>
  </si>
  <si>
    <t>I2C - OLED 0.96" 128X64</t>
  </si>
  <si>
    <t>oled-0.96-4p-i2c</t>
  </si>
  <si>
    <t>undefined</t>
  </si>
  <si>
    <t>TB6612</t>
  </si>
  <si>
    <t>U29</t>
  </si>
  <si>
    <t>8MHz</t>
  </si>
  <si>
    <t>X1</t>
  </si>
  <si>
    <t>CRYSTAL-SMD_L11.5-W4.8-LS12.7</t>
  </si>
  <si>
    <t>X49SM8MSD2SC</t>
  </si>
  <si>
    <t>YXC(扬兴晶振)</t>
  </si>
  <si>
    <t>C12674</t>
  </si>
  <si>
    <t>0.5756</t>
  </si>
  <si>
    <t>SS-12D10L5</t>
  </si>
  <si>
    <t>三脚开关</t>
  </si>
  <si>
    <t>SW-TH_SS-12D10L5</t>
  </si>
  <si>
    <t>XKB Connectivity(中国星坤)</t>
  </si>
  <si>
    <t>C319012</t>
  </si>
  <si>
    <t>1.9047</t>
  </si>
  <si>
    <t>Project Title</t>
  </si>
  <si>
    <t>Borard Title</t>
  </si>
  <si>
    <t>Schematic Title</t>
  </si>
  <si>
    <t>PCB Title</t>
  </si>
  <si>
    <t>PCB1</t>
  </si>
  <si>
    <t>Variant Name</t>
  </si>
  <si>
    <t>Total Quantity</t>
  </si>
  <si>
    <t>Report Time</t>
  </si>
  <si>
    <t>22:46:16</t>
  </si>
  <si>
    <t>Report Date</t>
  </si>
  <si>
    <t>2026年5月11日</t>
  </si>
  <si>
    <t>Report Date&amp;Time</t>
  </si>
  <si>
    <t>File Name</t>
  </si>
  <si>
    <t>Filter Option</t>
  </si>
  <si>
    <t>&lt;Parameter filter option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</si>
</sst>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10">
        <f>B7*K7</f>
      </c>
    </row>
    <row r="8" spans="1:12" x14ac:dyDescent="0.25">
      <c r="A8" s="8">
        <f>ROW()-6</f>
      </c>
      <c r="B8" s="9">
        <v>6</v>
      </c>
      <c r="C8" s="9" t="s">
        <v>29</v>
      </c>
      <c r="D8" s="9" t="s">
        <v>30</v>
      </c>
      <c r="E8" s="9" t="s">
        <v>31</v>
      </c>
      <c r="F8" s="9" t="s">
        <v>29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3</v>
      </c>
      <c r="C9" s="9" t="s">
        <v>32</v>
      </c>
      <c r="D9" s="9" t="s">
        <v>33</v>
      </c>
      <c r="E9" s="9" t="s">
        <v>31</v>
      </c>
      <c r="F9" s="9" t="s">
        <v>32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2</v>
      </c>
      <c r="C10" s="9" t="s">
        <v>34</v>
      </c>
      <c r="D10" s="9" t="s">
        <v>35</v>
      </c>
      <c r="E10" s="9" t="s">
        <v>31</v>
      </c>
      <c r="F10" s="9" t="s">
        <v>34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36</v>
      </c>
      <c r="D11" s="9" t="s">
        <v>37</v>
      </c>
      <c r="E11" s="9" t="s">
        <v>38</v>
      </c>
      <c r="F11" s="9" t="s">
        <v>0</v>
      </c>
      <c r="G11" s="9" t="s">
        <v>36</v>
      </c>
      <c r="H11" s="9" t="s">
        <v>39</v>
      </c>
      <c r="I11" s="9" t="s">
        <v>40</v>
      </c>
      <c r="J11" s="9" t="s">
        <v>27</v>
      </c>
      <c r="K11" s="9" t="s">
        <v>41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42</v>
      </c>
      <c r="D12" s="9" t="s">
        <v>43</v>
      </c>
      <c r="E12" s="9" t="s">
        <v>44</v>
      </c>
      <c r="F12" s="9" t="s">
        <v>0</v>
      </c>
      <c r="G12" s="9" t="s">
        <v>42</v>
      </c>
      <c r="H12" s="9" t="s">
        <v>45</v>
      </c>
      <c r="I12" s="9" t="s">
        <v>46</v>
      </c>
      <c r="J12" s="9" t="s">
        <v>27</v>
      </c>
      <c r="K12" s="9" t="s">
        <v>47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48</v>
      </c>
      <c r="D13" s="9" t="s">
        <v>49</v>
      </c>
      <c r="E13" s="9" t="s">
        <v>50</v>
      </c>
      <c r="F13" s="9" t="s">
        <v>0</v>
      </c>
      <c r="G13" s="9" t="s">
        <v>0</v>
      </c>
      <c r="H13" s="9" t="s">
        <v>0</v>
      </c>
      <c r="I13" s="9" t="s">
        <v>51</v>
      </c>
      <c r="J13" s="9" t="s">
        <v>0</v>
      </c>
      <c r="K13" s="9" t="s">
        <v>52</v>
      </c>
      <c r="L13" s="10">
        <f>B13*K13</f>
      </c>
    </row>
    <row r="14" spans="1:12" x14ac:dyDescent="0.25">
      <c r="A14" s="8">
        <f>ROW()-6</f>
      </c>
      <c r="B14" s="9">
        <v>2</v>
      </c>
      <c r="C14" s="9" t="s">
        <v>53</v>
      </c>
      <c r="D14" s="9" t="s">
        <v>54</v>
      </c>
      <c r="E14" s="9" t="s">
        <v>55</v>
      </c>
      <c r="F14" s="9" t="s">
        <v>0</v>
      </c>
      <c r="G14" s="9" t="s">
        <v>0</v>
      </c>
      <c r="H14" s="9" t="s">
        <v>0</v>
      </c>
      <c r="I14" s="9" t="s">
        <v>56</v>
      </c>
      <c r="J14" s="9" t="s">
        <v>0</v>
      </c>
      <c r="K14" s="9" t="s">
        <v>57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58</v>
      </c>
      <c r="D15" s="9" t="s">
        <v>59</v>
      </c>
      <c r="E15" s="9" t="s">
        <v>60</v>
      </c>
      <c r="F15" s="9" t="s">
        <v>0</v>
      </c>
      <c r="G15" s="9" t="s">
        <v>0</v>
      </c>
      <c r="H15" s="9" t="s">
        <v>0</v>
      </c>
      <c r="I15" s="9" t="s">
        <v>61</v>
      </c>
      <c r="J15" s="9" t="s">
        <v>0</v>
      </c>
      <c r="K15" s="9" t="s">
        <v>62</v>
      </c>
      <c r="L15" s="10">
        <f>B15*K15</f>
      </c>
    </row>
    <row r="16" spans="1:12" x14ac:dyDescent="0.25">
      <c r="A16" s="8">
        <f>ROW()-6</f>
      </c>
      <c r="B16" s="9">
        <v>4</v>
      </c>
      <c r="C16" s="9" t="s">
        <v>63</v>
      </c>
      <c r="D16" s="9" t="s">
        <v>64</v>
      </c>
      <c r="E16" s="9" t="s">
        <v>65</v>
      </c>
      <c r="F16" s="9" t="s">
        <v>0</v>
      </c>
      <c r="G16" s="9" t="s">
        <v>0</v>
      </c>
      <c r="H16" s="9" t="s">
        <v>0</v>
      </c>
      <c r="I16" s="9" t="s">
        <v>66</v>
      </c>
      <c r="J16" s="9" t="s">
        <v>0</v>
      </c>
      <c r="K16" s="9" t="s">
        <v>67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68</v>
      </c>
      <c r="D17" s="9" t="s">
        <v>69</v>
      </c>
      <c r="E17" s="9" t="s">
        <v>70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2</v>
      </c>
      <c r="C18" s="9" t="s">
        <v>71</v>
      </c>
      <c r="D18" s="9" t="s">
        <v>72</v>
      </c>
      <c r="E18" s="9" t="s">
        <v>73</v>
      </c>
      <c r="F18" s="9" t="s">
        <v>74</v>
      </c>
      <c r="G18" s="9" t="s">
        <v>75</v>
      </c>
      <c r="H18" s="9" t="s">
        <v>76</v>
      </c>
      <c r="I18" s="9" t="s">
        <v>77</v>
      </c>
      <c r="J18" s="9" t="s">
        <v>27</v>
      </c>
      <c r="K18" s="9" t="s">
        <v>78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79</v>
      </c>
      <c r="D19" s="9" t="s">
        <v>80</v>
      </c>
      <c r="E19" s="9" t="s">
        <v>81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82</v>
      </c>
      <c r="D20" s="9" t="s">
        <v>83</v>
      </c>
      <c r="E20" s="9" t="s">
        <v>84</v>
      </c>
      <c r="F20" s="9" t="s">
        <v>0</v>
      </c>
      <c r="G20" s="9" t="s">
        <v>85</v>
      </c>
      <c r="H20" s="9" t="s">
        <v>86</v>
      </c>
      <c r="I20" s="9" t="s">
        <v>87</v>
      </c>
      <c r="J20" s="9" t="s">
        <v>27</v>
      </c>
      <c r="K20" s="9" t="s">
        <v>88</v>
      </c>
      <c r="L20" s="10">
        <f>B20*K20</f>
      </c>
    </row>
    <row r="21" spans="1:12" x14ac:dyDescent="0.25">
      <c r="A21" s="8">
        <f>ROW()-6</f>
      </c>
      <c r="B21" s="9">
        <v>7</v>
      </c>
      <c r="C21" s="9" t="s">
        <v>89</v>
      </c>
      <c r="D21" s="9" t="s">
        <v>90</v>
      </c>
      <c r="E21" s="9" t="s">
        <v>91</v>
      </c>
      <c r="F21" s="9" t="s">
        <v>89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3</v>
      </c>
      <c r="C22" s="9" t="s">
        <v>92</v>
      </c>
      <c r="D22" s="9" t="s">
        <v>93</v>
      </c>
      <c r="E22" s="9" t="s">
        <v>91</v>
      </c>
      <c r="F22" s="9" t="s">
        <v>92</v>
      </c>
      <c r="G22" s="9" t="s">
        <v>0</v>
      </c>
      <c r="H22" s="9" t="s">
        <v>0</v>
      </c>
      <c r="I22" s="9" t="s">
        <v>0</v>
      </c>
      <c r="J22" s="9" t="s">
        <v>0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94</v>
      </c>
      <c r="D23" s="9" t="s">
        <v>95</v>
      </c>
      <c r="E23" s="9" t="s">
        <v>91</v>
      </c>
      <c r="F23" s="9" t="s">
        <v>94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4</v>
      </c>
      <c r="C24" s="9" t="s">
        <v>96</v>
      </c>
      <c r="D24" s="9" t="s">
        <v>97</v>
      </c>
      <c r="E24" s="9" t="s">
        <v>96</v>
      </c>
      <c r="F24" s="9" t="s">
        <v>0</v>
      </c>
      <c r="G24" s="9" t="s">
        <v>0</v>
      </c>
      <c r="H24" s="9" t="s">
        <v>0</v>
      </c>
      <c r="I24" s="9" t="s">
        <v>0</v>
      </c>
      <c r="J24" s="9" t="s">
        <v>0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4</v>
      </c>
      <c r="C25" s="9" t="s">
        <v>98</v>
      </c>
      <c r="D25" s="9" t="s">
        <v>99</v>
      </c>
      <c r="E25" s="9" t="s">
        <v>100</v>
      </c>
      <c r="F25" s="9" t="s">
        <v>0</v>
      </c>
      <c r="G25" s="9" t="s">
        <v>98</v>
      </c>
      <c r="H25" s="9" t="s">
        <v>45</v>
      </c>
      <c r="I25" s="9" t="s">
        <v>101</v>
      </c>
      <c r="J25" s="9" t="s">
        <v>27</v>
      </c>
      <c r="K25" s="9" t="s">
        <v>102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103</v>
      </c>
      <c r="D26" s="9" t="s">
        <v>104</v>
      </c>
      <c r="E26" s="9" t="s">
        <v>105</v>
      </c>
      <c r="F26" s="9" t="s">
        <v>0</v>
      </c>
      <c r="G26" s="9" t="s">
        <v>0</v>
      </c>
      <c r="H26" s="9" t="s">
        <v>0</v>
      </c>
      <c r="I26" s="9" t="s">
        <v>0</v>
      </c>
      <c r="J26" s="9" t="s">
        <v>0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106</v>
      </c>
      <c r="D27" s="9" t="s">
        <v>107</v>
      </c>
      <c r="E27" s="9" t="s">
        <v>108</v>
      </c>
      <c r="F27" s="9" t="s">
        <v>0</v>
      </c>
      <c r="G27" s="9" t="s">
        <v>106</v>
      </c>
      <c r="H27" s="9" t="s">
        <v>109</v>
      </c>
      <c r="I27" s="9" t="s">
        <v>110</v>
      </c>
      <c r="J27" s="9" t="s">
        <v>27</v>
      </c>
      <c r="K27" s="9" t="s">
        <v>111</v>
      </c>
      <c r="L27" s="10">
        <f>B27*K27</f>
      </c>
    </row>
    <row r="28" spans="1:12" x14ac:dyDescent="0.25">
      <c r="A28" s="8">
        <f>ROW()-6</f>
      </c>
      <c r="B28" s="9">
        <v>1</v>
      </c>
      <c r="C28" s="9" t="s">
        <v>112</v>
      </c>
      <c r="D28" s="9" t="s">
        <v>113</v>
      </c>
      <c r="E28" s="9" t="s">
        <v>114</v>
      </c>
      <c r="F28" s="9" t="s">
        <v>0</v>
      </c>
      <c r="G28" s="9" t="s">
        <v>112</v>
      </c>
      <c r="H28" s="9" t="s">
        <v>0</v>
      </c>
      <c r="I28" s="9" t="s">
        <v>115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116</v>
      </c>
      <c r="D29" s="9" t="s">
        <v>117</v>
      </c>
      <c r="E29" s="9" t="s">
        <v>118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119</v>
      </c>
      <c r="D30" s="9" t="s">
        <v>120</v>
      </c>
      <c r="E30" s="9" t="s">
        <v>119</v>
      </c>
      <c r="F30" s="9" t="s">
        <v>0</v>
      </c>
      <c r="G30" s="9" t="s">
        <v>0</v>
      </c>
      <c r="H30" s="9" t="s">
        <v>0</v>
      </c>
      <c r="I30" s="9" t="s">
        <v>0</v>
      </c>
      <c r="J30" s="9" t="s">
        <v>0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121</v>
      </c>
      <c r="D31" s="9" t="s">
        <v>122</v>
      </c>
      <c r="E31" s="9" t="s">
        <v>123</v>
      </c>
      <c r="F31" s="9" t="s">
        <v>0</v>
      </c>
      <c r="G31" s="9" t="s">
        <v>121</v>
      </c>
      <c r="H31" s="9" t="s">
        <v>124</v>
      </c>
      <c r="I31" s="9" t="s">
        <v>125</v>
      </c>
      <c r="J31" s="9" t="s">
        <v>27</v>
      </c>
      <c r="K31" s="9" t="s">
        <v>126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127</v>
      </c>
      <c r="D32" s="9" t="s">
        <v>128</v>
      </c>
      <c r="E32" s="9" t="s">
        <v>129</v>
      </c>
      <c r="F32" s="9" t="s">
        <v>0</v>
      </c>
      <c r="G32" s="9" t="s">
        <v>130</v>
      </c>
      <c r="H32" s="9" t="s">
        <v>0</v>
      </c>
      <c r="I32" s="9" t="s">
        <v>131</v>
      </c>
      <c r="J32" s="9" t="s">
        <v>0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132</v>
      </c>
      <c r="D33" s="9" t="s">
        <v>133</v>
      </c>
      <c r="E33" s="9" t="s">
        <v>132</v>
      </c>
      <c r="F33" s="9" t="s">
        <v>0</v>
      </c>
      <c r="G33" s="9" t="s">
        <v>0</v>
      </c>
      <c r="H33" s="9" t="s">
        <v>0</v>
      </c>
      <c r="I33" s="9" t="s">
        <v>0</v>
      </c>
      <c r="J33" s="9" t="s">
        <v>0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134</v>
      </c>
      <c r="D34" s="9" t="s">
        <v>135</v>
      </c>
      <c r="E34" s="9" t="s">
        <v>136</v>
      </c>
      <c r="F34" s="9" t="s">
        <v>134</v>
      </c>
      <c r="G34" s="9" t="s">
        <v>137</v>
      </c>
      <c r="H34" s="9" t="s">
        <v>138</v>
      </c>
      <c r="I34" s="9" t="s">
        <v>139</v>
      </c>
      <c r="J34" s="9" t="s">
        <v>27</v>
      </c>
      <c r="K34" s="9" t="s">
        <v>140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141</v>
      </c>
      <c r="D35" s="9" t="s">
        <v>142</v>
      </c>
      <c r="E35" s="9" t="s">
        <v>143</v>
      </c>
      <c r="F35" s="9" t="s">
        <v>0</v>
      </c>
      <c r="G35" s="9" t="s">
        <v>141</v>
      </c>
      <c r="H35" s="9" t="s">
        <v>144</v>
      </c>
      <c r="I35" s="9" t="s">
        <v>145</v>
      </c>
      <c r="J35" s="9" t="s">
        <v>27</v>
      </c>
      <c r="K35" s="9" t="s">
        <v>146</v>
      </c>
      <c r="L35" s="10">
        <f>B35*K35</f>
      </c>
    </row>
    <row r="36" spans="1:12" x14ac:dyDescent="0.25">
      <c r="A36" s="8">
        <f>ROW()-6</f>
      </c>
      <c r="B36" s="11">
        <f>SUM(L7:L35)</f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</sheetData>
  <mergeCells count="4">
    <mergeCell ref="A1:D5"/>
    <mergeCell ref="E1:E2"/>
    <mergeCell ref="F1:F2"/>
    <mergeCell ref="B36:L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147</v>
      </c>
      <c r="B1" s="6" t="s">
        <v>4</v>
      </c>
    </row>
    <row r="2" spans="1:2" x14ac:dyDescent="0.25">
      <c r="A2" s="6" t="s">
        <v>148</v>
      </c>
      <c r="B2" s="6" t="s">
        <v>4</v>
      </c>
    </row>
    <row r="3" spans="1:2" x14ac:dyDescent="0.25">
      <c r="A3" s="6" t="s">
        <v>149</v>
      </c>
      <c r="B3" s="6" t="s">
        <v>6</v>
      </c>
    </row>
    <row r="4" spans="1:2" x14ac:dyDescent="0.25">
      <c r="A4" s="6" t="s">
        <v>150</v>
      </c>
      <c r="B4" s="6" t="s">
        <v>151</v>
      </c>
    </row>
    <row r="5" spans="1:2" x14ac:dyDescent="0.25">
      <c r="A5" s="6" t="s">
        <v>152</v>
      </c>
      <c r="B5" s="6" t="s">
        <v>6</v>
      </c>
    </row>
    <row r="6" spans="1:2" x14ac:dyDescent="0.25">
      <c r="A6" s="6" t="s">
        <v>153</v>
      </c>
      <c r="B6" s="6">
        <v>56</v>
      </c>
    </row>
    <row r="7" spans="1:2" x14ac:dyDescent="0.25">
      <c r="A7" s="6" t="s">
        <v>154</v>
      </c>
      <c r="B7" s="6" t="s">
        <v>155</v>
      </c>
    </row>
    <row r="8" spans="1:2" x14ac:dyDescent="0.25">
      <c r="A8" s="6" t="s">
        <v>156</v>
      </c>
      <c r="B8" s="6" t="s">
        <v>157</v>
      </c>
    </row>
    <row r="9" spans="1:2" x14ac:dyDescent="0.25">
      <c r="A9" s="6" t="s">
        <v>158</v>
      </c>
      <c r="B9" s="6" t="s">
        <v>8</v>
      </c>
    </row>
    <row r="10" spans="1:2" x14ac:dyDescent="0.25">
      <c r="A10" s="6" t="s">
        <v>159</v>
      </c>
      <c r="B10" s="6" t="s">
        <v>2</v>
      </c>
    </row>
    <row r="11" spans="1:2" x14ac:dyDescent="0.25">
      <c r="A11" s="6" t="s">
        <v>160</v>
      </c>
      <c r="B11" s="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2026-05-11T14:46:16Z</dcterms:modified>
</cp:coreProperties>
</file>